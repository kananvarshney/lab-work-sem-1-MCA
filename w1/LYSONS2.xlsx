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CSD\Documents\K MCA1\"/>
    </mc:Choice>
  </mc:AlternateContent>
  <xr:revisionPtr revIDLastSave="0" documentId="13_ncr:1_{6D278A77-867F-4B43-9A17-9A4AA31127E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MULAS" sheetId="3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3" l="1"/>
  <c r="B12" i="3"/>
  <c r="E11" i="3"/>
  <c r="B11" i="3"/>
  <c r="E10" i="3"/>
  <c r="E9" i="3"/>
  <c r="B9" i="3"/>
  <c r="C8" i="3"/>
  <c r="D8" i="3" s="1"/>
  <c r="F8" i="3" s="1"/>
  <c r="G8" i="3" s="1"/>
  <c r="C7" i="3"/>
  <c r="D7" i="3" s="1"/>
  <c r="F7" i="3" s="1"/>
  <c r="G7" i="3" s="1"/>
  <c r="C6" i="3"/>
  <c r="D6" i="3" s="1"/>
  <c r="F6" i="3" s="1"/>
  <c r="G6" i="3" s="1"/>
  <c r="C5" i="3"/>
  <c r="D5" i="3" s="1"/>
  <c r="F5" i="3" s="1"/>
  <c r="G5" i="3" s="1"/>
  <c r="C4" i="3"/>
  <c r="C12" i="3" s="1"/>
  <c r="C4" i="1"/>
  <c r="E10" i="1"/>
  <c r="B12" i="1"/>
  <c r="E12" i="1"/>
  <c r="B11" i="1"/>
  <c r="E11" i="1"/>
  <c r="B9" i="1"/>
  <c r="E9" i="1"/>
  <c r="C5" i="1"/>
  <c r="D5" i="1" s="1"/>
  <c r="F5" i="1" s="1"/>
  <c r="G5" i="1" s="1"/>
  <c r="C6" i="1"/>
  <c r="D6" i="1" s="1"/>
  <c r="F6" i="1" s="1"/>
  <c r="G6" i="1" s="1"/>
  <c r="C7" i="1"/>
  <c r="D7" i="1" s="1"/>
  <c r="F7" i="1" s="1"/>
  <c r="G7" i="1" s="1"/>
  <c r="C8" i="1"/>
  <c r="D8" i="1" s="1"/>
  <c r="F8" i="1" s="1"/>
  <c r="G8" i="1" s="1"/>
  <c r="C11" i="3" l="1"/>
  <c r="D4" i="3"/>
  <c r="C9" i="3"/>
  <c r="C11" i="1"/>
  <c r="C9" i="1"/>
  <c r="C12" i="1"/>
  <c r="D4" i="1"/>
  <c r="D10" i="1" s="1"/>
  <c r="F4" i="3" l="1"/>
  <c r="D11" i="3"/>
  <c r="D12" i="3"/>
  <c r="D10" i="3"/>
  <c r="D9" i="3"/>
  <c r="F4" i="1"/>
  <c r="F10" i="1" s="1"/>
  <c r="D11" i="1"/>
  <c r="D12" i="1"/>
  <c r="D9" i="1"/>
  <c r="F12" i="3" l="1"/>
  <c r="F10" i="3"/>
  <c r="F9" i="3"/>
  <c r="G4" i="3"/>
  <c r="F11" i="3"/>
  <c r="F12" i="1"/>
  <c r="F9" i="1"/>
  <c r="F11" i="1"/>
  <c r="G4" i="1"/>
  <c r="G10" i="1" s="1"/>
  <c r="G12" i="3" l="1"/>
  <c r="G10" i="3"/>
  <c r="G9" i="3"/>
  <c r="G11" i="3"/>
  <c r="G11" i="1"/>
  <c r="G12" i="1"/>
  <c r="G9" i="1"/>
</calcChain>
</file>

<file path=xl/sharedStrings.xml><?xml version="1.0" encoding="utf-8"?>
<sst xmlns="http://schemas.openxmlformats.org/spreadsheetml/2006/main" count="36" uniqueCount="18">
  <si>
    <t>PRODUCT</t>
  </si>
  <si>
    <t>COST PRICE PER LITRE</t>
  </si>
  <si>
    <t>Cascade</t>
  </si>
  <si>
    <t>Quench</t>
  </si>
  <si>
    <t>Xtra</t>
  </si>
  <si>
    <t>Sun splash</t>
  </si>
  <si>
    <t>House Brand</t>
  </si>
  <si>
    <t>MARK UP PER ITEM 35%</t>
  </si>
  <si>
    <t>SELLING PRICE</t>
  </si>
  <si>
    <t>LITRES SOLD</t>
  </si>
  <si>
    <t>TOTAL INCOME</t>
  </si>
  <si>
    <t>PROFIT</t>
  </si>
  <si>
    <t>TOTAL</t>
  </si>
  <si>
    <t>HIGHEST</t>
  </si>
  <si>
    <t>LOWEST</t>
  </si>
  <si>
    <t>AVERAGE</t>
  </si>
  <si>
    <t>LYONS INC- ORANGE JUICE SALES</t>
  </si>
  <si>
    <t>MARK REFERENCE 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</si>
</sst>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3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2" fontId="0" fillId="0" borderId="4" xfId="0" applyNumberFormat="1" applyBorder="1"/>
    <xf numFmtId="1" fontId="0" fillId="0" borderId="4" xfId="0" applyNumberFormat="1" applyBorder="1"/>
    <xf numFmtId="0" fontId="1" fillId="0" borderId="0" xfId="0" applyFont="1" applyBorder="1" applyAlignment="1">
      <alignment wrapText="1"/>
    </xf>
    <xf numFmtId="0" fontId="0" fillId="0" borderId="0" xfId="0" applyBorder="1"/>
    <xf numFmtId="2" fontId="0" fillId="0" borderId="0" xfId="0" applyNumberFormat="1" applyBorder="1"/>
    <xf numFmtId="1" fontId="0" fillId="0" borderId="0" xfId="0" applyNumberForma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5" xfId="0" applyBorder="1"/>
    <xf numFmtId="0" fontId="2" fillId="0" borderId="9" xfId="0" applyFont="1" applyBorder="1"/>
    <xf numFmtId="2" fontId="2" fillId="0" borderId="10" xfId="0" applyNumberFormat="1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0" xfId="0" applyFont="1" applyBorder="1"/>
    <xf numFmtId="9" fontId="0" fillId="0" borderId="2" xfId="0" applyNumberFormat="1" applyBorder="1"/>
    <xf numFmtId="0" fontId="1" fillId="0" borderId="11" xfId="0" applyFont="1" applyBorder="1" applyAlignment="1">
      <alignment wrapText="1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 COST PRICE PER LITRE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FORMULAS!$B$3</c:f>
              <c:strCache>
                <c:ptCount val="1"/>
                <c:pt idx="0">
                  <c:v>COST PRICE PER LITRE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A45-48F6-A67B-C93C0B7345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A45-48F6-A67B-C93C0B7345F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A45-48F6-A67B-C93C0B7345F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A45-48F6-A67B-C93C0B7345F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A45-48F6-A67B-C93C0B7345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FORMULAS!$A$4:$A$8</c:f>
              <c:strCache>
                <c:ptCount val="5"/>
                <c:pt idx="0">
                  <c:v>Cascade</c:v>
                </c:pt>
                <c:pt idx="1">
                  <c:v>Quench</c:v>
                </c:pt>
                <c:pt idx="2">
                  <c:v>Xtra</c:v>
                </c:pt>
                <c:pt idx="3">
                  <c:v>Sun splash</c:v>
                </c:pt>
                <c:pt idx="4">
                  <c:v>House Brand</c:v>
                </c:pt>
              </c:strCache>
            </c:strRef>
          </c:cat>
          <c:val>
            <c:numRef>
              <c:f>FORMULAS!$B$4:$B$8</c:f>
              <c:numCache>
                <c:formatCode>0.00</c:formatCode>
                <c:ptCount val="5"/>
                <c:pt idx="0">
                  <c:v>3.75</c:v>
                </c:pt>
                <c:pt idx="1">
                  <c:v>3.65</c:v>
                </c:pt>
                <c:pt idx="2">
                  <c:v>4.25</c:v>
                </c:pt>
                <c:pt idx="3">
                  <c:v>1.5</c:v>
                </c:pt>
                <c:pt idx="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A45-48F6-A67B-C93C0B734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 COST PRICE PER LITRE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COST PRICE PER LITRE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DB0-4B0E-9BB6-0825306772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DB0-4B0E-9BB6-08253067728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DB0-4B0E-9BB6-08253067728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DB0-4B0E-9BB6-08253067728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DB0-4B0E-9BB6-08253067728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Sheet1!$A$4:$A$8</c:f>
              <c:strCache>
                <c:ptCount val="5"/>
                <c:pt idx="0">
                  <c:v>Cascade</c:v>
                </c:pt>
                <c:pt idx="1">
                  <c:v>Quench</c:v>
                </c:pt>
                <c:pt idx="2">
                  <c:v>Xtra</c:v>
                </c:pt>
                <c:pt idx="3">
                  <c:v>Sun splash</c:v>
                </c:pt>
                <c:pt idx="4">
                  <c:v>House Brand</c:v>
                </c:pt>
              </c:strCache>
            </c:strRef>
          </c:cat>
          <c:val>
            <c:numRef>
              <c:f>Sheet1!$B$4:$B$8</c:f>
              <c:numCache>
                <c:formatCode>0.00</c:formatCode>
                <c:ptCount val="5"/>
                <c:pt idx="0">
                  <c:v>3.75</c:v>
                </c:pt>
                <c:pt idx="1">
                  <c:v>3.65</c:v>
                </c:pt>
                <c:pt idx="2">
                  <c:v>4.25</c:v>
                </c:pt>
                <c:pt idx="3">
                  <c:v>1.5</c:v>
                </c:pt>
                <c:pt idx="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E-41DA-87AE-04D367FED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510540</xdr:colOff>
      <xdr:row>1</xdr:row>
      <xdr:rowOff>76200</xdr:rowOff>
    </xdr:from>
    <xdr:to>
      <xdr:col>17</xdr:col>
      <xdr:colOff>205740</xdr:colOff>
      <xdr:row>13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28EEFE-F1DB-4A78-B076-B40CF85FF2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510540</xdr:colOff>
      <xdr:row>1</xdr:row>
      <xdr:rowOff>76200</xdr:rowOff>
    </xdr:from>
    <xdr:to>
      <xdr:col>17</xdr:col>
      <xdr:colOff>205740</xdr:colOff>
      <xdr:row>13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82880F-7DC3-541E-A534-08EBD7628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61A20-B74C-45F0-A5EC-908B185EA809}">
  <dimension ref="A1:I13"/>
  <sheetViews>
    <sheetView showFormulas="1" tabSelected="1" workbookViewId="0">
      <selection activeCell="E17" sqref="E17"/>
    </sheetView>
  </sheetViews>
  <sheetFormatPr defaultRowHeight="15" x14ac:dyDescent="0.25"/>
  <sheetData>
    <row r="1" spans="1:9" x14ac:dyDescent="0.25">
      <c r="A1" s="11"/>
      <c r="B1" s="22" t="s">
        <v>16</v>
      </c>
      <c r="C1" s="22"/>
      <c r="D1" s="22"/>
      <c r="E1" s="22"/>
      <c r="F1" s="12"/>
      <c r="G1" s="12"/>
      <c r="H1" s="13"/>
      <c r="I1" s="8"/>
    </row>
    <row r="2" spans="1:9" x14ac:dyDescent="0.25">
      <c r="A2" s="1"/>
      <c r="B2" s="7"/>
      <c r="C2" s="8"/>
      <c r="D2" s="8"/>
      <c r="E2" s="8"/>
      <c r="F2" s="8"/>
      <c r="G2" s="8"/>
      <c r="H2" s="14"/>
      <c r="I2" s="8"/>
    </row>
    <row r="3" spans="1:9" ht="60" x14ac:dyDescent="0.25">
      <c r="A3" s="16" t="s">
        <v>0</v>
      </c>
      <c r="B3" s="17" t="s">
        <v>1</v>
      </c>
      <c r="C3" s="18" t="s">
        <v>7</v>
      </c>
      <c r="D3" s="18" t="s">
        <v>8</v>
      </c>
      <c r="E3" s="18" t="s">
        <v>9</v>
      </c>
      <c r="F3" s="18" t="s">
        <v>10</v>
      </c>
      <c r="G3" s="19" t="s">
        <v>11</v>
      </c>
      <c r="H3" s="21" t="s">
        <v>17</v>
      </c>
      <c r="I3" s="8"/>
    </row>
    <row r="4" spans="1:9" x14ac:dyDescent="0.25">
      <c r="A4" s="1" t="s">
        <v>2</v>
      </c>
      <c r="B4" s="9">
        <v>3.75</v>
      </c>
      <c r="C4" s="9">
        <f>B4*$H$4</f>
        <v>1.3125</v>
      </c>
      <c r="D4" s="9">
        <f t="shared" ref="D4:D8" si="0">B4+C4</f>
        <v>5.0625</v>
      </c>
      <c r="E4" s="10">
        <v>234</v>
      </c>
      <c r="F4" s="9">
        <f>E4*D4</f>
        <v>1184.625</v>
      </c>
      <c r="G4" s="9">
        <f>F4-(B4*E4)</f>
        <v>307.125</v>
      </c>
      <c r="H4" s="20">
        <v>0.35</v>
      </c>
      <c r="I4" s="8"/>
    </row>
    <row r="5" spans="1:9" x14ac:dyDescent="0.25">
      <c r="A5" s="1" t="s">
        <v>3</v>
      </c>
      <c r="B5" s="9">
        <v>3.65</v>
      </c>
      <c r="C5" s="9">
        <f t="shared" ref="C5:C8" si="1">B5*35%</f>
        <v>1.2774999999999999</v>
      </c>
      <c r="D5" s="9">
        <f t="shared" si="0"/>
        <v>4.9275000000000002</v>
      </c>
      <c r="E5" s="10">
        <v>345</v>
      </c>
      <c r="F5" s="9">
        <f t="shared" ref="F5:F8" si="2">E5*D5</f>
        <v>1699.9875000000002</v>
      </c>
      <c r="G5" s="9">
        <f>F5-(B5*E5)</f>
        <v>440.73750000000018</v>
      </c>
      <c r="H5" s="14"/>
      <c r="I5" s="8"/>
    </row>
    <row r="6" spans="1:9" x14ac:dyDescent="0.25">
      <c r="A6" s="1" t="s">
        <v>4</v>
      </c>
      <c r="B6" s="9">
        <v>4.25</v>
      </c>
      <c r="C6" s="9">
        <f t="shared" si="1"/>
        <v>1.4874999999999998</v>
      </c>
      <c r="D6" s="9">
        <f t="shared" si="0"/>
        <v>5.7374999999999998</v>
      </c>
      <c r="E6" s="10">
        <v>456</v>
      </c>
      <c r="F6" s="9">
        <f t="shared" si="2"/>
        <v>2616.2999999999997</v>
      </c>
      <c r="G6" s="9">
        <f>F6-(B6*E6)</f>
        <v>678.29999999999973</v>
      </c>
      <c r="H6" s="14"/>
      <c r="I6" s="8"/>
    </row>
    <row r="7" spans="1:9" x14ac:dyDescent="0.25">
      <c r="A7" s="2" t="s">
        <v>5</v>
      </c>
      <c r="B7" s="9">
        <v>1.5</v>
      </c>
      <c r="C7" s="9">
        <f t="shared" si="1"/>
        <v>0.52499999999999991</v>
      </c>
      <c r="D7" s="9">
        <f t="shared" si="0"/>
        <v>2.0249999999999999</v>
      </c>
      <c r="E7" s="10">
        <v>123</v>
      </c>
      <c r="F7" s="9">
        <f t="shared" si="2"/>
        <v>249.07499999999999</v>
      </c>
      <c r="G7" s="9">
        <f>F7-(B7*E7)</f>
        <v>64.574999999999989</v>
      </c>
      <c r="H7" s="14"/>
      <c r="I7" s="8"/>
    </row>
    <row r="8" spans="1:9" x14ac:dyDescent="0.25">
      <c r="A8" s="2" t="s">
        <v>6</v>
      </c>
      <c r="B8" s="9">
        <v>1.5</v>
      </c>
      <c r="C8" s="9">
        <f t="shared" si="1"/>
        <v>0.52499999999999991</v>
      </c>
      <c r="D8" s="9">
        <f t="shared" si="0"/>
        <v>2.0249999999999999</v>
      </c>
      <c r="E8" s="10">
        <v>245</v>
      </c>
      <c r="F8" s="9">
        <f t="shared" si="2"/>
        <v>496.125</v>
      </c>
      <c r="G8" s="9">
        <f>F8-(B8*E8)</f>
        <v>128.625</v>
      </c>
      <c r="H8" s="14"/>
      <c r="I8" s="8"/>
    </row>
    <row r="9" spans="1:9" x14ac:dyDescent="0.25">
      <c r="A9" s="3" t="s">
        <v>12</v>
      </c>
      <c r="B9" s="9">
        <f t="shared" ref="B9:G9" si="3">SUM(B4:B8)</f>
        <v>14.65</v>
      </c>
      <c r="C9" s="9">
        <f t="shared" si="3"/>
        <v>5.1274999999999995</v>
      </c>
      <c r="D9" s="9">
        <f t="shared" si="3"/>
        <v>19.777499999999996</v>
      </c>
      <c r="E9" s="10">
        <f t="shared" si="3"/>
        <v>1403</v>
      </c>
      <c r="F9" s="9">
        <f t="shared" si="3"/>
        <v>6246.1125000000002</v>
      </c>
      <c r="G9" s="9">
        <f t="shared" si="3"/>
        <v>1619.3625</v>
      </c>
      <c r="H9" s="14"/>
      <c r="I9" s="8"/>
    </row>
    <row r="10" spans="1:9" x14ac:dyDescent="0.25">
      <c r="A10" s="3" t="s">
        <v>15</v>
      </c>
      <c r="B10" s="9"/>
      <c r="C10" s="9"/>
      <c r="D10" s="9">
        <f t="shared" ref="D10:G10" si="4">AVERAGE(D4:D8)</f>
        <v>3.9554999999999993</v>
      </c>
      <c r="E10" s="10">
        <f t="shared" si="4"/>
        <v>280.60000000000002</v>
      </c>
      <c r="F10" s="9">
        <f t="shared" si="4"/>
        <v>1249.2225000000001</v>
      </c>
      <c r="G10" s="9">
        <f t="shared" si="4"/>
        <v>323.8725</v>
      </c>
      <c r="H10" s="14"/>
      <c r="I10" s="8"/>
    </row>
    <row r="11" spans="1:9" x14ac:dyDescent="0.25">
      <c r="A11" s="3" t="s">
        <v>13</v>
      </c>
      <c r="B11" s="9">
        <f t="shared" ref="B11:G11" si="5">MAX(B4:B8)</f>
        <v>4.25</v>
      </c>
      <c r="C11" s="9">
        <f t="shared" si="5"/>
        <v>1.4874999999999998</v>
      </c>
      <c r="D11" s="9">
        <f t="shared" si="5"/>
        <v>5.7374999999999998</v>
      </c>
      <c r="E11" s="10">
        <f t="shared" si="5"/>
        <v>456</v>
      </c>
      <c r="F11" s="9">
        <f t="shared" si="5"/>
        <v>2616.2999999999997</v>
      </c>
      <c r="G11" s="9">
        <f t="shared" si="5"/>
        <v>678.29999999999973</v>
      </c>
      <c r="H11" s="14"/>
      <c r="I11" s="8"/>
    </row>
    <row r="12" spans="1:9" ht="15.75" thickBot="1" x14ac:dyDescent="0.3">
      <c r="A12" s="4" t="s">
        <v>14</v>
      </c>
      <c r="B12" s="5">
        <f t="shared" ref="B12:G12" si="6">MIN(B4:B8)</f>
        <v>1.5</v>
      </c>
      <c r="C12" s="5">
        <f t="shared" si="6"/>
        <v>0.52499999999999991</v>
      </c>
      <c r="D12" s="5">
        <f t="shared" si="6"/>
        <v>2.0249999999999999</v>
      </c>
      <c r="E12" s="6">
        <f t="shared" si="6"/>
        <v>123</v>
      </c>
      <c r="F12" s="5">
        <f t="shared" si="6"/>
        <v>249.07499999999999</v>
      </c>
      <c r="G12" s="5">
        <f t="shared" si="6"/>
        <v>64.574999999999989</v>
      </c>
      <c r="H12" s="15"/>
      <c r="I12" s="8"/>
    </row>
    <row r="13" spans="1:9" x14ac:dyDescent="0.25">
      <c r="A13" s="8"/>
      <c r="B13" s="8"/>
      <c r="C13" s="8"/>
      <c r="D13" s="8"/>
      <c r="E13" s="8"/>
      <c r="F13" s="8"/>
      <c r="G13" s="8"/>
      <c r="H13" s="8"/>
      <c r="I13" s="8"/>
    </row>
  </sheetData>
  <mergeCells count="1">
    <mergeCell ref="B1:E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selection activeCell="I15" sqref="I15"/>
    </sheetView>
  </sheetViews>
  <sheetFormatPr defaultRowHeight="15" x14ac:dyDescent="0.25"/>
  <sheetData>
    <row r="1" spans="1:9" x14ac:dyDescent="0.25">
      <c r="A1" s="11"/>
      <c r="B1" s="22" t="s">
        <v>16</v>
      </c>
      <c r="C1" s="22"/>
      <c r="D1" s="22"/>
      <c r="E1" s="22"/>
      <c r="F1" s="12"/>
      <c r="G1" s="12"/>
      <c r="H1" s="13"/>
      <c r="I1" s="8"/>
    </row>
    <row r="2" spans="1:9" x14ac:dyDescent="0.25">
      <c r="A2" s="1"/>
      <c r="B2" s="7"/>
      <c r="C2" s="8"/>
      <c r="D2" s="8"/>
      <c r="E2" s="8"/>
      <c r="F2" s="8"/>
      <c r="G2" s="8"/>
      <c r="H2" s="14"/>
      <c r="I2" s="8"/>
    </row>
    <row r="3" spans="1:9" ht="60" x14ac:dyDescent="0.25">
      <c r="A3" s="16" t="s">
        <v>0</v>
      </c>
      <c r="B3" s="17" t="s">
        <v>1</v>
      </c>
      <c r="C3" s="18" t="s">
        <v>7</v>
      </c>
      <c r="D3" s="18" t="s">
        <v>8</v>
      </c>
      <c r="E3" s="18" t="s">
        <v>9</v>
      </c>
      <c r="F3" s="18" t="s">
        <v>10</v>
      </c>
      <c r="G3" s="19" t="s">
        <v>11</v>
      </c>
      <c r="H3" s="21" t="s">
        <v>17</v>
      </c>
      <c r="I3" s="8"/>
    </row>
    <row r="4" spans="1:9" x14ac:dyDescent="0.25">
      <c r="A4" s="1" t="s">
        <v>2</v>
      </c>
      <c r="B4" s="9">
        <v>3.75</v>
      </c>
      <c r="C4" s="9">
        <f>B4*$H$4</f>
        <v>1.3125</v>
      </c>
      <c r="D4" s="9">
        <f t="shared" ref="D4:D8" si="0">B4+C4</f>
        <v>5.0625</v>
      </c>
      <c r="E4" s="10">
        <v>234</v>
      </c>
      <c r="F4" s="9">
        <f>E4*D4</f>
        <v>1184.625</v>
      </c>
      <c r="G4" s="9">
        <f>F4-(B4*E4)</f>
        <v>307.125</v>
      </c>
      <c r="H4" s="20">
        <v>0.35</v>
      </c>
      <c r="I4" s="8"/>
    </row>
    <row r="5" spans="1:9" x14ac:dyDescent="0.25">
      <c r="A5" s="1" t="s">
        <v>3</v>
      </c>
      <c r="B5" s="9">
        <v>3.65</v>
      </c>
      <c r="C5" s="9">
        <f t="shared" ref="C5:C8" si="1">B5*35%</f>
        <v>1.2774999999999999</v>
      </c>
      <c r="D5" s="9">
        <f t="shared" si="0"/>
        <v>4.9275000000000002</v>
      </c>
      <c r="E5" s="10">
        <v>345</v>
      </c>
      <c r="F5" s="9">
        <f t="shared" ref="F5:F8" si="2">E5*D5</f>
        <v>1699.9875000000002</v>
      </c>
      <c r="G5" s="9">
        <f>F5-(B5*E5)</f>
        <v>440.73750000000018</v>
      </c>
      <c r="H5" s="14"/>
      <c r="I5" s="8"/>
    </row>
    <row r="6" spans="1:9" x14ac:dyDescent="0.25">
      <c r="A6" s="1" t="s">
        <v>4</v>
      </c>
      <c r="B6" s="9">
        <v>4.25</v>
      </c>
      <c r="C6" s="9">
        <f t="shared" si="1"/>
        <v>1.4874999999999998</v>
      </c>
      <c r="D6" s="9">
        <f t="shared" si="0"/>
        <v>5.7374999999999998</v>
      </c>
      <c r="E6" s="10">
        <v>456</v>
      </c>
      <c r="F6" s="9">
        <f t="shared" si="2"/>
        <v>2616.2999999999997</v>
      </c>
      <c r="G6" s="9">
        <f>F6-(B6*E6)</f>
        <v>678.29999999999973</v>
      </c>
      <c r="H6" s="14"/>
      <c r="I6" s="8"/>
    </row>
    <row r="7" spans="1:9" x14ac:dyDescent="0.25">
      <c r="A7" s="2" t="s">
        <v>5</v>
      </c>
      <c r="B7" s="9">
        <v>1.5</v>
      </c>
      <c r="C7" s="9">
        <f t="shared" si="1"/>
        <v>0.52499999999999991</v>
      </c>
      <c r="D7" s="9">
        <f t="shared" si="0"/>
        <v>2.0249999999999999</v>
      </c>
      <c r="E7" s="10">
        <v>123</v>
      </c>
      <c r="F7" s="9">
        <f t="shared" si="2"/>
        <v>249.07499999999999</v>
      </c>
      <c r="G7" s="9">
        <f>F7-(B7*E7)</f>
        <v>64.574999999999989</v>
      </c>
      <c r="H7" s="14"/>
      <c r="I7" s="8"/>
    </row>
    <row r="8" spans="1:9" x14ac:dyDescent="0.25">
      <c r="A8" s="2" t="s">
        <v>6</v>
      </c>
      <c r="B8" s="9">
        <v>1.5</v>
      </c>
      <c r="C8" s="9">
        <f t="shared" si="1"/>
        <v>0.52499999999999991</v>
      </c>
      <c r="D8" s="9">
        <f t="shared" si="0"/>
        <v>2.0249999999999999</v>
      </c>
      <c r="E8" s="10">
        <v>245</v>
      </c>
      <c r="F8" s="9">
        <f t="shared" si="2"/>
        <v>496.125</v>
      </c>
      <c r="G8" s="9">
        <f>F8-(B8*E8)</f>
        <v>128.625</v>
      </c>
      <c r="H8" s="14"/>
      <c r="I8" s="8"/>
    </row>
    <row r="9" spans="1:9" x14ac:dyDescent="0.25">
      <c r="A9" s="3" t="s">
        <v>12</v>
      </c>
      <c r="B9" s="9">
        <f t="shared" ref="B9:G9" si="3">SUM(B4:B8)</f>
        <v>14.65</v>
      </c>
      <c r="C9" s="9">
        <f t="shared" si="3"/>
        <v>5.1274999999999995</v>
      </c>
      <c r="D9" s="9">
        <f t="shared" si="3"/>
        <v>19.777499999999996</v>
      </c>
      <c r="E9" s="10">
        <f t="shared" si="3"/>
        <v>1403</v>
      </c>
      <c r="F9" s="9">
        <f t="shared" si="3"/>
        <v>6246.1125000000002</v>
      </c>
      <c r="G9" s="9">
        <f t="shared" si="3"/>
        <v>1619.3625</v>
      </c>
      <c r="H9" s="14"/>
      <c r="I9" s="8"/>
    </row>
    <row r="10" spans="1:9" x14ac:dyDescent="0.25">
      <c r="A10" s="3" t="s">
        <v>15</v>
      </c>
      <c r="B10" s="9"/>
      <c r="C10" s="9"/>
      <c r="D10" s="9">
        <f t="shared" ref="D10:G10" si="4">AVERAGE(D4:D8)</f>
        <v>3.9554999999999993</v>
      </c>
      <c r="E10" s="10">
        <f t="shared" si="4"/>
        <v>280.60000000000002</v>
      </c>
      <c r="F10" s="9">
        <f t="shared" si="4"/>
        <v>1249.2225000000001</v>
      </c>
      <c r="G10" s="9">
        <f t="shared" si="4"/>
        <v>323.8725</v>
      </c>
      <c r="H10" s="14"/>
      <c r="I10" s="8"/>
    </row>
    <row r="11" spans="1:9" x14ac:dyDescent="0.25">
      <c r="A11" s="3" t="s">
        <v>13</v>
      </c>
      <c r="B11" s="9">
        <f t="shared" ref="B11:G11" si="5">MAX(B4:B8)</f>
        <v>4.25</v>
      </c>
      <c r="C11" s="9">
        <f t="shared" si="5"/>
        <v>1.4874999999999998</v>
      </c>
      <c r="D11" s="9">
        <f t="shared" si="5"/>
        <v>5.7374999999999998</v>
      </c>
      <c r="E11" s="10">
        <f t="shared" si="5"/>
        <v>456</v>
      </c>
      <c r="F11" s="9">
        <f t="shared" si="5"/>
        <v>2616.2999999999997</v>
      </c>
      <c r="G11" s="9">
        <f t="shared" si="5"/>
        <v>678.29999999999973</v>
      </c>
      <c r="H11" s="14"/>
      <c r="I11" s="8"/>
    </row>
    <row r="12" spans="1:9" ht="15.75" thickBot="1" x14ac:dyDescent="0.3">
      <c r="A12" s="4" t="s">
        <v>14</v>
      </c>
      <c r="B12" s="5">
        <f t="shared" ref="B12:G12" si="6">MIN(B4:B8)</f>
        <v>1.5</v>
      </c>
      <c r="C12" s="5">
        <f t="shared" si="6"/>
        <v>0.52499999999999991</v>
      </c>
      <c r="D12" s="5">
        <f t="shared" si="6"/>
        <v>2.0249999999999999</v>
      </c>
      <c r="E12" s="6">
        <f t="shared" si="6"/>
        <v>123</v>
      </c>
      <c r="F12" s="5">
        <f t="shared" si="6"/>
        <v>249.07499999999999</v>
      </c>
      <c r="G12" s="5">
        <f t="shared" si="6"/>
        <v>64.574999999999989</v>
      </c>
      <c r="H12" s="15"/>
      <c r="I12" s="8"/>
    </row>
    <row r="13" spans="1:9" x14ac:dyDescent="0.25">
      <c r="A13" s="8"/>
      <c r="B13" s="8"/>
      <c r="C13" s="8"/>
      <c r="D13" s="8"/>
      <c r="E13" s="8"/>
      <c r="F13" s="8"/>
      <c r="G13" s="8"/>
      <c r="H13" s="8"/>
      <c r="I13" s="8"/>
    </row>
  </sheetData>
  <mergeCells count="1">
    <mergeCell ref="B1:E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FORMULAS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esha varshney</dc:creator>
  <cp:lastModifiedBy>CSD</cp:lastModifiedBy>
  <dcterms:created xsi:type="dcterms:W3CDTF">2015-06-05T18:17:20Z</dcterms:created>
  <dcterms:modified xsi:type="dcterms:W3CDTF">2026-08-13T09:42:30Z</dcterms:modified>
</cp:coreProperties>
</file>