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D5FD0B03-FE5A-4197-8806-AC4B1BACE979}" xr6:coauthVersionLast="47" xr6:coauthVersionMax="47" xr10:uidLastSave="{00000000-0000-0000-0000-000000000000}"/>
  <bookViews>
    <workbookView xWindow="-120" yWindow="-120" windowWidth="20730" windowHeight="11040" xr2:uid="{91672DE9-84BB-4D10-8E27-F5DC992108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2" i="1" l="1"/>
  <c r="F11" i="1"/>
  <c r="F9" i="1"/>
  <c r="C11" i="1"/>
  <c r="C7" i="1"/>
  <c r="F7" i="1"/>
  <c r="C8" i="1"/>
</calcChain>
</file>

<file path=xl/sharedStrings.xml><?xml version="1.0" encoding="utf-8"?>
<sst xmlns="http://schemas.openxmlformats.org/spreadsheetml/2006/main" count="22" uniqueCount="21">
  <si>
    <t>Employee</t>
  </si>
  <si>
    <t>Date</t>
  </si>
  <si>
    <t>Basic Salary p.a.</t>
  </si>
  <si>
    <t>T MARONGO</t>
  </si>
  <si>
    <t>STAFF NO</t>
  </si>
  <si>
    <t>NEXTPAYDATE</t>
  </si>
  <si>
    <t>Basic Salary</t>
  </si>
  <si>
    <t>Housing Subsidy</t>
  </si>
  <si>
    <t>Vehicle Allowance</t>
  </si>
  <si>
    <t>Medical Aid</t>
  </si>
  <si>
    <t>Gross Income</t>
  </si>
  <si>
    <t>Pension @8%</t>
  </si>
  <si>
    <t>P.A.Y.E.</t>
  </si>
  <si>
    <t>U.I.F</t>
  </si>
  <si>
    <t>Bond Repayment</t>
  </si>
  <si>
    <t>Total Deductions</t>
  </si>
  <si>
    <t>AMOUNT</t>
  </si>
  <si>
    <t>INCOME</t>
  </si>
  <si>
    <t>DEDUCTIONS</t>
  </si>
  <si>
    <t>Net Salary</t>
  </si>
  <si>
    <t>SALARY ADVICE FOR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</si>
</sst>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/>
    <xf numFmtId="0" fontId="2" fillId="0" borderId="1" xfId="0" applyFont="1" applyBorder="1"/>
    <xf numFmtId="164" fontId="0" fillId="0" borderId="1" xfId="0" applyNumberForma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5" fontId="0" fillId="0" borderId="0" xfId="0" applyNumberFormat="1" applyBorder="1" applyAlignment="1">
      <alignment horizontal="center"/>
    </xf>
    <xf numFmtId="0" fontId="0" fillId="0" borderId="0" xfId="0" applyBorder="1"/>
    <xf numFmtId="15" fontId="0" fillId="0" borderId="6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/>
    <xf numFmtId="0" fontId="0" fillId="0" borderId="5" xfId="0" applyBorder="1"/>
    <xf numFmtId="0" fontId="2" fillId="0" borderId="7" xfId="0" applyFont="1" applyBorder="1" applyAlignment="1">
      <alignment horizontal="center"/>
    </xf>
    <xf numFmtId="0" fontId="1" fillId="0" borderId="0" xfId="1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" xfId="0" applyBorder="1" applyAlignment="1">
      <alignment horizontal="center"/>
    </xf>
    <xf numFmtId="0" fontId="2" fillId="0" borderId="3" xfId="0" applyFont="1" applyBorder="1" applyAlignment="1"/>
    <xf numFmtId="0" fontId="2" fillId="0" borderId="4" xfId="0" applyFont="1" applyBorder="1" applyAlignment="1"/>
    <xf numFmtId="0" fontId="0" fillId="0" borderId="6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EB1D6-9305-4881-8EED-8AE924421FFB}">
  <dimension ref="A1:I13"/>
  <sheetViews>
    <sheetView tabSelected="1" zoomScaleNormal="100" workbookViewId="0">
      <selection activeCell="E18" sqref="E18"/>
    </sheetView>
  </sheetViews>
  <sheetFormatPr defaultRowHeight="15" x14ac:dyDescent="0.25"/>
  <cols>
    <col min="3" max="3" width="9.85546875" bestFit="1" customWidth="1"/>
    <col min="6" max="6" width="9.7109375" bestFit="1" customWidth="1"/>
    <col min="8" max="8" width="9.5703125" bestFit="1" customWidth="1"/>
  </cols>
  <sheetData>
    <row r="1" spans="1:9" x14ac:dyDescent="0.25">
      <c r="A1" s="21"/>
      <c r="B1" s="6"/>
      <c r="C1" s="7"/>
      <c r="D1" s="5" t="s">
        <v>20</v>
      </c>
      <c r="E1" s="5"/>
      <c r="F1" s="5"/>
      <c r="G1" s="5"/>
      <c r="H1" s="22"/>
      <c r="I1" s="23"/>
    </row>
    <row r="2" spans="1:9" x14ac:dyDescent="0.25">
      <c r="A2" s="8" t="s">
        <v>0</v>
      </c>
      <c r="B2" s="9"/>
      <c r="C2" s="13" t="s">
        <v>3</v>
      </c>
      <c r="D2" s="13"/>
      <c r="E2" s="11"/>
      <c r="F2" s="9" t="s">
        <v>4</v>
      </c>
      <c r="G2" s="9"/>
      <c r="H2" s="13">
        <v>4</v>
      </c>
      <c r="I2" s="24"/>
    </row>
    <row r="3" spans="1:9" x14ac:dyDescent="0.25">
      <c r="A3" s="8" t="s">
        <v>1</v>
      </c>
      <c r="B3" s="9"/>
      <c r="C3" s="10">
        <v>42460</v>
      </c>
      <c r="D3" s="10"/>
      <c r="E3" s="11"/>
      <c r="F3" s="9" t="s">
        <v>5</v>
      </c>
      <c r="G3" s="9"/>
      <c r="H3" s="10">
        <v>42490</v>
      </c>
      <c r="I3" s="12"/>
    </row>
    <row r="4" spans="1:9" x14ac:dyDescent="0.25">
      <c r="A4" s="8" t="s">
        <v>2</v>
      </c>
      <c r="B4" s="13"/>
      <c r="C4" s="13">
        <v>31200</v>
      </c>
      <c r="D4" s="13"/>
      <c r="E4" s="11"/>
      <c r="F4" s="11"/>
      <c r="G4" s="11"/>
      <c r="H4" s="11"/>
      <c r="I4" s="14"/>
    </row>
    <row r="5" spans="1:9" x14ac:dyDescent="0.25">
      <c r="A5" s="15"/>
      <c r="B5" s="11"/>
      <c r="C5" s="11"/>
      <c r="D5" s="11"/>
      <c r="E5" s="11"/>
      <c r="F5" s="11"/>
      <c r="G5" s="11"/>
      <c r="H5" s="11"/>
      <c r="I5" s="14"/>
    </row>
    <row r="6" spans="1:9" x14ac:dyDescent="0.25">
      <c r="A6" s="16" t="s">
        <v>17</v>
      </c>
      <c r="B6" s="4"/>
      <c r="C6" s="1" t="s">
        <v>16</v>
      </c>
      <c r="D6" s="4" t="s">
        <v>18</v>
      </c>
      <c r="E6" s="4"/>
      <c r="F6" s="2" t="s">
        <v>16</v>
      </c>
      <c r="G6" s="11"/>
      <c r="H6" s="11"/>
      <c r="I6" s="14"/>
    </row>
    <row r="7" spans="1:9" x14ac:dyDescent="0.25">
      <c r="A7" s="15" t="s">
        <v>6</v>
      </c>
      <c r="B7" s="11"/>
      <c r="C7" s="11">
        <f>C4/12</f>
        <v>2600</v>
      </c>
      <c r="D7" s="17" t="s">
        <v>11</v>
      </c>
      <c r="E7" s="17"/>
      <c r="F7" s="11">
        <f>2600*8%</f>
        <v>208</v>
      </c>
      <c r="G7" s="11"/>
      <c r="H7" s="11"/>
      <c r="I7" s="14"/>
    </row>
    <row r="8" spans="1:9" x14ac:dyDescent="0.25">
      <c r="A8" s="15" t="s">
        <v>7</v>
      </c>
      <c r="B8" s="11"/>
      <c r="C8" s="11">
        <f>6000/12</f>
        <v>500</v>
      </c>
      <c r="D8" s="13" t="s">
        <v>12</v>
      </c>
      <c r="E8" s="13"/>
      <c r="F8" s="11">
        <v>636.83000000000004</v>
      </c>
      <c r="G8" s="11"/>
      <c r="H8" s="11"/>
      <c r="I8" s="14"/>
    </row>
    <row r="9" spans="1:9" x14ac:dyDescent="0.25">
      <c r="A9" s="15" t="s">
        <v>8</v>
      </c>
      <c r="B9" s="11"/>
      <c r="C9" s="11">
        <v>100</v>
      </c>
      <c r="D9" s="13" t="s">
        <v>13</v>
      </c>
      <c r="E9" s="13"/>
      <c r="F9" s="11">
        <f>C7*1%+C8</f>
        <v>526</v>
      </c>
      <c r="G9" s="11"/>
      <c r="H9" s="11"/>
      <c r="I9" s="14"/>
    </row>
    <row r="10" spans="1:9" x14ac:dyDescent="0.25">
      <c r="A10" s="15" t="s">
        <v>9</v>
      </c>
      <c r="B10" s="11"/>
      <c r="C10" s="11">
        <v>70</v>
      </c>
      <c r="D10" s="13" t="s">
        <v>14</v>
      </c>
      <c r="E10" s="13"/>
      <c r="F10" s="11">
        <v>630</v>
      </c>
      <c r="G10" s="11"/>
      <c r="H10" s="11"/>
      <c r="I10" s="14"/>
    </row>
    <row r="11" spans="1:9" x14ac:dyDescent="0.25">
      <c r="A11" s="15" t="s">
        <v>10</v>
      </c>
      <c r="B11" s="11"/>
      <c r="C11" s="11">
        <f>SUM(C7:C10)</f>
        <v>3270</v>
      </c>
      <c r="D11" s="13" t="s">
        <v>15</v>
      </c>
      <c r="E11" s="13"/>
      <c r="F11" s="11">
        <f>SUM(F7:F10)</f>
        <v>2000.83</v>
      </c>
      <c r="G11" s="11"/>
      <c r="H11" s="11"/>
      <c r="I11" s="14"/>
    </row>
    <row r="12" spans="1:9" x14ac:dyDescent="0.25">
      <c r="A12" s="15"/>
      <c r="B12" s="11"/>
      <c r="C12" s="11"/>
      <c r="D12" s="4" t="s">
        <v>19</v>
      </c>
      <c r="E12" s="4"/>
      <c r="F12" s="3">
        <f>C11-F11</f>
        <v>1269.17</v>
      </c>
      <c r="G12" s="11"/>
      <c r="H12" s="11"/>
      <c r="I12" s="14"/>
    </row>
    <row r="13" spans="1:9" ht="15.75" thickBot="1" x14ac:dyDescent="0.3">
      <c r="A13" s="18"/>
      <c r="B13" s="19"/>
      <c r="C13" s="19"/>
      <c r="D13" s="19"/>
      <c r="E13" s="19"/>
      <c r="F13" s="19"/>
      <c r="G13" s="19"/>
      <c r="H13" s="19"/>
      <c r="I13" s="20"/>
    </row>
  </sheetData>
  <mergeCells count="20">
    <mergeCell ref="A1:B1"/>
    <mergeCell ref="D7:E7"/>
    <mergeCell ref="D8:E8"/>
    <mergeCell ref="D9:E9"/>
    <mergeCell ref="H2:I2"/>
    <mergeCell ref="H3:I3"/>
    <mergeCell ref="A6:B6"/>
    <mergeCell ref="A4:B4"/>
    <mergeCell ref="A3:B3"/>
    <mergeCell ref="A2:B2"/>
    <mergeCell ref="D1:G1"/>
    <mergeCell ref="D10:E10"/>
    <mergeCell ref="D11:E11"/>
    <mergeCell ref="D12:E12"/>
    <mergeCell ref="F3:G3"/>
    <mergeCell ref="F2:G2"/>
    <mergeCell ref="D6:E6"/>
    <mergeCell ref="C2:D2"/>
    <mergeCell ref="C3:D3"/>
    <mergeCell ref="C4:D4"/>
  </mergeCells>
  <pageMargins left="0.7" right="0.7" top="0.75" bottom="0.75" header="0.3" footer="0.3"/>
  <pageSetup orientation="portrait" r:id="rId1"/>
  <headerFooter>
    <oddFooter>&amp;LKANAN VARSHNEY&amp;CCOMPUTER LAB&amp;RQUESTION 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CSD</cp:lastModifiedBy>
  <cp:lastPrinted>2026-08-13T09:16:19Z</cp:lastPrinted>
  <dcterms:created xsi:type="dcterms:W3CDTF">2026-08-12T06:43:09Z</dcterms:created>
  <dcterms:modified xsi:type="dcterms:W3CDTF">2026-08-13T09:29:54Z</dcterms:modified>
</cp:coreProperties>
</file>